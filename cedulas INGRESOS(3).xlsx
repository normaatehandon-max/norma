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guerrero_mtinter\Desktop\TRASLADADO OCTUBRE 2025\"/>
    </mc:Choice>
  </mc:AlternateContent>
  <bookViews>
    <workbookView xWindow="0" yWindow="0" windowWidth="28800" windowHeight="13005"/>
  </bookViews>
  <sheets>
    <sheet name="INGRESOS" sheetId="2" r:id="rId1"/>
    <sheet name="INGRESOS EJEMPLO" sheetId="1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8" i="1" l="1"/>
  <c r="F8" i="1"/>
  <c r="Q8" i="1" s="1"/>
  <c r="L7" i="1"/>
  <c r="P6" i="1"/>
  <c r="F6" i="1"/>
  <c r="Q6" i="1" s="1"/>
  <c r="L5" i="1"/>
</calcChain>
</file>

<file path=xl/sharedStrings.xml><?xml version="1.0" encoding="utf-8"?>
<sst xmlns="http://schemas.openxmlformats.org/spreadsheetml/2006/main" count="130" uniqueCount="63">
  <si>
    <t>Fecha</t>
  </si>
  <si>
    <t>Concepto / Referencia</t>
  </si>
  <si>
    <t>DEPOSITO DLL</t>
  </si>
  <si>
    <t>DEPOSITO MN</t>
  </si>
  <si>
    <t>INTERESES</t>
  </si>
  <si>
    <t>DEVOLUCION</t>
  </si>
  <si>
    <t>NO IDENTIFICADO</t>
  </si>
  <si>
    <t>TRASPASO</t>
  </si>
  <si>
    <t>TRASPASO INVERSION</t>
  </si>
  <si>
    <t xml:space="preserve">PRESTAMO </t>
  </si>
  <si>
    <t>FACTURA</t>
  </si>
  <si>
    <t>DIFERENCIA</t>
  </si>
  <si>
    <t>SubTotal</t>
  </si>
  <si>
    <t>Descuento</t>
  </si>
  <si>
    <t>Total IEPS</t>
  </si>
  <si>
    <t>IVA 16%</t>
  </si>
  <si>
    <t>Retenido IVA</t>
  </si>
  <si>
    <t>Retenido ISR</t>
  </si>
  <si>
    <t>ISH</t>
  </si>
  <si>
    <t>Total</t>
  </si>
  <si>
    <t>SPEI RECIBIDOBANORTE/0163765969 072
0260130TRASPASO ENTRE CUENTAS</t>
  </si>
  <si>
    <t>PAGO CUENTA DE TERCERO/ 0036004078
BNET 0145406285 F mex250</t>
  </si>
  <si>
    <t>e54</t>
  </si>
  <si>
    <t>Vigente</t>
  </si>
  <si>
    <t>4.0</t>
  </si>
  <si>
    <t>Factura</t>
  </si>
  <si>
    <t>27/01/2026</t>
  </si>
  <si>
    <t>2026-01-27T13:50:31</t>
  </si>
  <si>
    <t/>
  </si>
  <si>
    <t>MEX</t>
  </si>
  <si>
    <t>250</t>
  </si>
  <si>
    <t>e267ab3d-8304-4365-a71a-24657676d468</t>
  </si>
  <si>
    <t>VME130205UK7</t>
  </si>
  <si>
    <t>VANEXPO DE MEXICO</t>
  </si>
  <si>
    <t>54057</t>
  </si>
  <si>
    <t>DSN040809HHA</t>
  </si>
  <si>
    <t>DUCTOS Y SOPORTES DEL NORTE</t>
  </si>
  <si>
    <t>G03 - Gastos en general</t>
  </si>
  <si>
    <t>MXN</t>
  </si>
  <si>
    <t>1</t>
  </si>
  <si>
    <t>99 - Por definir</t>
  </si>
  <si>
    <t>PPD - Pago en parcialidades o diferido</t>
  </si>
  <si>
    <t>Pago a 0 días</t>
  </si>
  <si>
    <t xml:space="preserve">CENA &amp; NETWORKING PATROCINIO EEYSN 2026 GDL * CENA &amp; NETWORKING BOLETO IND EEYSO 2025 GDL * </t>
  </si>
  <si>
    <t>No</t>
  </si>
  <si>
    <t>0</t>
  </si>
  <si>
    <t>E267AB3D-8304-4365-A71A-24657676D468@1000000000XX0.xml</t>
  </si>
  <si>
    <t>SPEI RECIBIDOBANORTE/0156217521 072
0260129TRASPASO ENTRE CUENTAS</t>
  </si>
  <si>
    <t>DEPOSITO DE TERCERO/REFBNTC00354430
MARKETING BMRCASH</t>
  </si>
  <si>
    <t>e42</t>
  </si>
  <si>
    <t>20/01/2026</t>
  </si>
  <si>
    <t>2026-01-20T16:51:38</t>
  </si>
  <si>
    <t>242</t>
  </si>
  <si>
    <t>87b7cf40-0218-4229-8310-e31a33c905dc</t>
  </si>
  <si>
    <t>AEL091014HUA</t>
  </si>
  <si>
    <t>ALIANZA ELECTRICA</t>
  </si>
  <si>
    <t>03 - Transferencia electrónica de fondos</t>
  </si>
  <si>
    <t>PUE - Pago en una sola exhibición</t>
  </si>
  <si>
    <t xml:space="preserve">STAND 54 m2 EEI CDMX 2026 * </t>
  </si>
  <si>
    <t>87B7CF40-0218-4229-8310-E31A33C905DC@1000000000XX0.xml</t>
  </si>
  <si>
    <t>COBRANZA tasa 16</t>
  </si>
  <si>
    <t>cobranza 0</t>
  </si>
  <si>
    <t>reembolsables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</si>
</sst>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5">
    <font>
      <sz val="11"/>
      <color theme="1"/>
      <name val="Aptos Narrow"/>
      <family val="2"/>
      <scheme val="minor"/>
    </font>
    <font>
      <b/>
      <sz val="9"/>
      <color theme="1"/>
      <name val="Calibri Light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4" fontId="1" fillId="2" borderId="1" xfId="0" applyNumberFormat="1" applyFont="1" applyFill="1" applyBorder="1" applyAlignment="1">
      <alignment horizontal="center" wrapText="1"/>
    </xf>
    <xf numFmtId="0" fontId="2" fillId="0" borderId="0" xfId="0" applyFont="1"/>
    <xf numFmtId="4" fontId="3" fillId="0" borderId="0" xfId="0" applyNumberFormat="1" applyFont="1"/>
    <xf numFmtId="16" fontId="2" fillId="3" borderId="0" xfId="0" applyNumberFormat="1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wrapText="1"/>
    </xf>
    <xf numFmtId="4" fontId="2" fillId="3" borderId="0" xfId="0" applyNumberFormat="1" applyFont="1" applyFill="1" applyAlignment="1">
      <alignment horizontal="center" wrapText="1"/>
    </xf>
    <xf numFmtId="4" fontId="2" fillId="0" borderId="0" xfId="0" applyNumberFormat="1" applyFont="1"/>
    <xf numFmtId="0" fontId="2" fillId="0" borderId="0" xfId="0" applyFont="1" applyAlignment="1">
      <alignment wrapText="1"/>
    </xf>
    <xf numFmtId="8" fontId="2" fillId="0" borderId="0" xfId="0" applyNumberFormat="1" applyFont="1"/>
    <xf numFmtId="16" fontId="2" fillId="4" borderId="0" xfId="0" applyNumberFormat="1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2" fillId="4" borderId="0" xfId="0" applyFont="1" applyFill="1" applyAlignment="1">
      <alignment wrapText="1"/>
    </xf>
    <xf numFmtId="4" fontId="2" fillId="4" borderId="0" xfId="0" applyNumberFormat="1" applyFont="1" applyFill="1" applyAlignment="1">
      <alignment horizontal="center" wrapText="1"/>
    </xf>
    <xf numFmtId="4" fontId="2" fillId="4" borderId="0" xfId="0" applyNumberFormat="1" applyFont="1" applyFill="1"/>
    <xf numFmtId="0" fontId="2" fillId="4" borderId="0" xfId="0" applyFont="1" applyFill="1"/>
    <xf numFmtId="8" fontId="2" fillId="4" borderId="0" xfId="0" applyNumberFormat="1" applyFont="1" applyFill="1"/>
    <xf numFmtId="0" fontId="4" fillId="4" borderId="0" xfId="0" applyFont="1" applyFill="1"/>
    <xf numFmtId="0" fontId="0" fillId="4" borderId="0" xfId="0" applyFill="1"/>
    <xf numFmtId="4" fontId="0" fillId="4" borderId="0" xfId="0" applyNumberFormat="1" applyFill="1"/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A8"/>
  <sheetViews>
    <sheetView tabSelected="1" workbookViewId="0">
      <selection activeCell="C18" sqref="C18"/>
    </sheetView>
  </sheetViews>
  <sheetFormatPr baseColWidth="10" defaultRowHeight="14.25"/>
  <cols>
    <col min="1" max="1" width="14" bestFit="1" customWidth="1"/>
    <col min="3" max="3" width="38.375" customWidth="1"/>
    <col min="5" max="5" width="14.625" customWidth="1"/>
    <col min="6" max="6" width="19" customWidth="1"/>
    <col min="7" max="7" width="13.5" customWidth="1"/>
    <col min="8" max="8" width="15.25" customWidth="1"/>
    <col min="9" max="9" width="18.875" customWidth="1"/>
    <col min="10" max="10" width="13.125" customWidth="1"/>
    <col min="11" max="11" width="13.75" customWidth="1"/>
    <col min="12" max="12" width="12.25" customWidth="1"/>
    <col min="55" max="55" width="34.125" bestFit="1" customWidth="1"/>
    <col min="56" max="56" width="32.75" bestFit="1" customWidth="1"/>
    <col min="58" max="58" width="12" bestFit="1" customWidth="1"/>
    <col min="59" max="59" width="100.625" bestFit="1" customWidth="1"/>
  </cols>
  <sheetData>
    <row r="4" spans="2:79" ht="24.75">
      <c r="B4" s="1" t="s">
        <v>0</v>
      </c>
      <c r="C4" s="1" t="s">
        <v>1</v>
      </c>
      <c r="D4" s="2" t="s">
        <v>2</v>
      </c>
      <c r="E4" s="2" t="s">
        <v>3</v>
      </c>
      <c r="F4" s="2" t="s">
        <v>60</v>
      </c>
      <c r="G4" s="2" t="s">
        <v>61</v>
      </c>
      <c r="H4" s="2" t="s">
        <v>4</v>
      </c>
      <c r="I4" s="2" t="s">
        <v>62</v>
      </c>
      <c r="J4" s="2" t="s">
        <v>5</v>
      </c>
      <c r="K4" s="2" t="s">
        <v>6</v>
      </c>
      <c r="L4" s="2" t="s">
        <v>7</v>
      </c>
      <c r="M4" s="2" t="s">
        <v>8</v>
      </c>
      <c r="N4" s="2" t="s">
        <v>9</v>
      </c>
      <c r="O4" s="3"/>
      <c r="P4" s="2" t="s">
        <v>10</v>
      </c>
      <c r="Q4" s="2" t="s">
        <v>11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4" t="s">
        <v>12</v>
      </c>
      <c r="AN4" s="4" t="s">
        <v>13</v>
      </c>
      <c r="AO4" s="4" t="s">
        <v>14</v>
      </c>
      <c r="AP4" s="4" t="s">
        <v>15</v>
      </c>
      <c r="AQ4" s="4" t="s">
        <v>16</v>
      </c>
      <c r="AR4" s="4" t="s">
        <v>17</v>
      </c>
      <c r="AS4" s="4" t="s">
        <v>18</v>
      </c>
      <c r="AT4" s="4" t="s">
        <v>19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</row>
    <row r="5" spans="2:79">
      <c r="B5" s="5"/>
      <c r="C5" s="6"/>
      <c r="D5" s="7"/>
      <c r="E5" s="8"/>
      <c r="F5" s="9"/>
      <c r="G5" s="9"/>
      <c r="H5" s="9"/>
      <c r="I5" s="9"/>
      <c r="J5" s="10"/>
      <c r="K5" s="10"/>
      <c r="L5" s="1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9"/>
      <c r="AN5" s="9"/>
      <c r="AO5" s="9"/>
      <c r="AP5" s="9"/>
      <c r="AQ5" s="9"/>
      <c r="AR5" s="9"/>
      <c r="AS5" s="9"/>
      <c r="AT5" s="9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</row>
    <row r="6" spans="2:79" ht="15">
      <c r="B6" s="12"/>
      <c r="C6" s="13"/>
      <c r="D6" s="14"/>
      <c r="E6" s="15"/>
      <c r="F6" s="16"/>
      <c r="G6" s="16"/>
      <c r="H6" s="16"/>
      <c r="I6" s="16"/>
      <c r="J6" s="14"/>
      <c r="K6" s="14"/>
      <c r="L6" s="17"/>
      <c r="M6" s="17"/>
      <c r="N6" s="17"/>
      <c r="O6" s="17"/>
      <c r="P6" s="17"/>
      <c r="Q6" s="18"/>
      <c r="R6" s="17"/>
      <c r="S6" s="19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1"/>
      <c r="AN6" s="21"/>
      <c r="AO6" s="21"/>
      <c r="AP6" s="21"/>
      <c r="AQ6" s="21"/>
      <c r="AR6" s="21"/>
      <c r="AS6" s="21"/>
      <c r="AT6" s="21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17"/>
      <c r="BT6" s="17"/>
      <c r="BU6" s="17"/>
      <c r="BV6" s="17"/>
      <c r="BW6" s="17"/>
      <c r="BX6" s="17"/>
      <c r="BY6" s="17"/>
      <c r="BZ6" s="17"/>
      <c r="CA6" s="17"/>
    </row>
    <row r="7" spans="2:79">
      <c r="B7" s="5"/>
      <c r="C7" s="6"/>
      <c r="D7" s="7"/>
      <c r="E7" s="8"/>
      <c r="F7" s="9"/>
      <c r="G7" s="9"/>
      <c r="H7" s="9"/>
      <c r="I7" s="9"/>
      <c r="J7" s="10"/>
      <c r="K7" s="10"/>
      <c r="L7" s="1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9"/>
      <c r="AN7" s="9"/>
      <c r="AO7" s="9"/>
      <c r="AP7" s="9"/>
      <c r="AQ7" s="9"/>
      <c r="AR7" s="9"/>
      <c r="AS7" s="9"/>
      <c r="AT7" s="9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</row>
    <row r="8" spans="2:79" ht="15">
      <c r="B8" s="12"/>
      <c r="C8" s="13"/>
      <c r="D8" s="14"/>
      <c r="E8" s="15"/>
      <c r="F8" s="16"/>
      <c r="G8" s="16"/>
      <c r="H8" s="16"/>
      <c r="I8" s="16"/>
      <c r="J8" s="14"/>
      <c r="K8" s="14"/>
      <c r="L8" s="17"/>
      <c r="M8" s="17"/>
      <c r="N8" s="17"/>
      <c r="O8" s="17"/>
      <c r="P8" s="17"/>
      <c r="Q8" s="18"/>
      <c r="R8" s="17"/>
      <c r="S8" s="19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1"/>
      <c r="AN8" s="21"/>
      <c r="AO8" s="21"/>
      <c r="AP8" s="21"/>
      <c r="AQ8" s="21"/>
      <c r="AR8" s="21"/>
      <c r="AS8" s="21"/>
      <c r="AT8" s="21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17"/>
      <c r="BT8" s="17"/>
      <c r="BU8" s="17"/>
      <c r="BV8" s="17"/>
      <c r="BW8" s="17"/>
      <c r="BX8" s="17"/>
      <c r="BY8" s="17"/>
      <c r="BZ8" s="17"/>
      <c r="CA8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A8"/>
  <sheetViews>
    <sheetView topLeftCell="E1" workbookViewId="0">
      <selection activeCell="G33" sqref="G33"/>
    </sheetView>
  </sheetViews>
  <sheetFormatPr baseColWidth="10" defaultRowHeight="14.25"/>
  <cols>
    <col min="1" max="1" width="14" bestFit="1" customWidth="1"/>
    <col min="3" max="3" width="38.375" customWidth="1"/>
    <col min="5" max="5" width="14.625" customWidth="1"/>
    <col min="6" max="6" width="19" customWidth="1"/>
    <col min="7" max="7" width="13.5" customWidth="1"/>
    <col min="8" max="8" width="15.25" customWidth="1"/>
    <col min="9" max="9" width="18.875" customWidth="1"/>
    <col min="10" max="10" width="13.125" customWidth="1"/>
    <col min="11" max="11" width="13.75" customWidth="1"/>
    <col min="12" max="12" width="12.25" customWidth="1"/>
    <col min="55" max="55" width="34.125" bestFit="1" customWidth="1"/>
    <col min="56" max="56" width="32.75" bestFit="1" customWidth="1"/>
    <col min="58" max="58" width="12" bestFit="1" customWidth="1"/>
    <col min="59" max="59" width="100.625" bestFit="1" customWidth="1"/>
  </cols>
  <sheetData>
    <row r="4" spans="2:79" ht="24.75">
      <c r="B4" s="1" t="s">
        <v>0</v>
      </c>
      <c r="C4" s="1" t="s">
        <v>1</v>
      </c>
      <c r="D4" s="2" t="s">
        <v>2</v>
      </c>
      <c r="E4" s="2" t="s">
        <v>3</v>
      </c>
      <c r="F4" s="2" t="s">
        <v>60</v>
      </c>
      <c r="G4" s="2" t="s">
        <v>61</v>
      </c>
      <c r="H4" s="2" t="s">
        <v>4</v>
      </c>
      <c r="I4" s="2" t="s">
        <v>62</v>
      </c>
      <c r="J4" s="2" t="s">
        <v>5</v>
      </c>
      <c r="K4" s="2" t="s">
        <v>6</v>
      </c>
      <c r="L4" s="2" t="s">
        <v>7</v>
      </c>
      <c r="M4" s="2" t="s">
        <v>8</v>
      </c>
      <c r="N4" s="2" t="s">
        <v>9</v>
      </c>
      <c r="O4" s="3"/>
      <c r="P4" s="2" t="s">
        <v>10</v>
      </c>
      <c r="Q4" s="2" t="s">
        <v>11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4" t="s">
        <v>12</v>
      </c>
      <c r="AN4" s="4" t="s">
        <v>13</v>
      </c>
      <c r="AO4" s="4" t="s">
        <v>14</v>
      </c>
      <c r="AP4" s="4" t="s">
        <v>15</v>
      </c>
      <c r="AQ4" s="4" t="s">
        <v>16</v>
      </c>
      <c r="AR4" s="4" t="s">
        <v>17</v>
      </c>
      <c r="AS4" s="4" t="s">
        <v>18</v>
      </c>
      <c r="AT4" s="4" t="s">
        <v>19</v>
      </c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</row>
    <row r="5" spans="2:79" ht="25.5">
      <c r="B5" s="5">
        <v>46052</v>
      </c>
      <c r="C5" s="6" t="s">
        <v>20</v>
      </c>
      <c r="D5" s="7"/>
      <c r="E5" s="8">
        <v>750000</v>
      </c>
      <c r="F5" s="9"/>
      <c r="G5" s="9"/>
      <c r="H5" s="9"/>
      <c r="I5" s="9"/>
      <c r="J5" s="10"/>
      <c r="K5" s="10"/>
      <c r="L5" s="11">
        <f>+E5</f>
        <v>750000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9"/>
      <c r="AN5" s="9"/>
      <c r="AO5" s="9"/>
      <c r="AP5" s="9"/>
      <c r="AQ5" s="9"/>
      <c r="AR5" s="9"/>
      <c r="AS5" s="9"/>
      <c r="AT5" s="9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</row>
    <row r="6" spans="2:79" ht="26.25">
      <c r="B6" s="12">
        <v>46052</v>
      </c>
      <c r="C6" s="13" t="s">
        <v>21</v>
      </c>
      <c r="D6" s="14"/>
      <c r="E6" s="15">
        <v>27840</v>
      </c>
      <c r="F6" s="16">
        <f>+E6</f>
        <v>27840</v>
      </c>
      <c r="G6" s="16"/>
      <c r="H6" s="16"/>
      <c r="I6" s="16"/>
      <c r="J6" s="14"/>
      <c r="K6" s="14"/>
      <c r="L6" s="17"/>
      <c r="M6" s="17"/>
      <c r="N6" s="17"/>
      <c r="O6" s="17"/>
      <c r="P6" s="17">
        <f>+AT6</f>
        <v>27840</v>
      </c>
      <c r="Q6" s="18">
        <f>+F6-P6</f>
        <v>0</v>
      </c>
      <c r="R6" s="17"/>
      <c r="S6" s="19" t="s">
        <v>22</v>
      </c>
      <c r="T6" s="20" t="s">
        <v>23</v>
      </c>
      <c r="U6" s="20" t="s">
        <v>24</v>
      </c>
      <c r="V6" s="20" t="s">
        <v>25</v>
      </c>
      <c r="W6" s="20" t="s">
        <v>26</v>
      </c>
      <c r="X6" s="20" t="s">
        <v>27</v>
      </c>
      <c r="Y6" s="20" t="s">
        <v>28</v>
      </c>
      <c r="Z6" s="20" t="s">
        <v>28</v>
      </c>
      <c r="AA6" s="20" t="s">
        <v>29</v>
      </c>
      <c r="AB6" s="20" t="s">
        <v>30</v>
      </c>
      <c r="AC6" s="20" t="s">
        <v>31</v>
      </c>
      <c r="AD6" s="20" t="s">
        <v>28</v>
      </c>
      <c r="AE6" s="20" t="s">
        <v>32</v>
      </c>
      <c r="AF6" s="20" t="s">
        <v>33</v>
      </c>
      <c r="AG6" s="20" t="s">
        <v>34</v>
      </c>
      <c r="AH6" s="20" t="s">
        <v>35</v>
      </c>
      <c r="AI6" s="20" t="s">
        <v>36</v>
      </c>
      <c r="AJ6" s="20" t="s">
        <v>28</v>
      </c>
      <c r="AK6" s="20" t="s">
        <v>28</v>
      </c>
      <c r="AL6" s="20" t="s">
        <v>37</v>
      </c>
      <c r="AM6" s="21">
        <v>24000</v>
      </c>
      <c r="AN6" s="21">
        <v>0</v>
      </c>
      <c r="AO6" s="21">
        <v>0</v>
      </c>
      <c r="AP6" s="21">
        <v>3840</v>
      </c>
      <c r="AQ6" s="21">
        <v>0</v>
      </c>
      <c r="AR6" s="21">
        <v>0</v>
      </c>
      <c r="AS6" s="21">
        <v>0</v>
      </c>
      <c r="AT6" s="21">
        <v>27840</v>
      </c>
      <c r="AU6" s="20" t="s">
        <v>28</v>
      </c>
      <c r="AV6" s="20">
        <v>3840</v>
      </c>
      <c r="AW6" s="20">
        <v>0</v>
      </c>
      <c r="AX6" s="20">
        <v>0</v>
      </c>
      <c r="AY6" s="20">
        <v>0</v>
      </c>
      <c r="AZ6" s="20" t="s">
        <v>28</v>
      </c>
      <c r="BA6" s="20" t="s">
        <v>38</v>
      </c>
      <c r="BB6" s="20" t="s">
        <v>39</v>
      </c>
      <c r="BC6" s="20" t="s">
        <v>40</v>
      </c>
      <c r="BD6" s="20" t="s">
        <v>41</v>
      </c>
      <c r="BE6" s="20" t="s">
        <v>28</v>
      </c>
      <c r="BF6" s="20" t="s">
        <v>42</v>
      </c>
      <c r="BG6" s="20" t="s">
        <v>43</v>
      </c>
      <c r="BH6" s="20" t="s">
        <v>44</v>
      </c>
      <c r="BI6" s="20" t="s">
        <v>45</v>
      </c>
      <c r="BJ6" s="20" t="s">
        <v>45</v>
      </c>
      <c r="BK6" s="20" t="s">
        <v>45</v>
      </c>
      <c r="BL6" s="20" t="s">
        <v>45</v>
      </c>
      <c r="BM6" s="20" t="s">
        <v>45</v>
      </c>
      <c r="BN6" s="20" t="s">
        <v>45</v>
      </c>
      <c r="BO6" s="20" t="s">
        <v>45</v>
      </c>
      <c r="BP6" s="20" t="s">
        <v>45</v>
      </c>
      <c r="BQ6" s="20" t="s">
        <v>45</v>
      </c>
      <c r="BR6" s="20" t="s">
        <v>46</v>
      </c>
      <c r="BS6" s="17"/>
      <c r="BT6" s="17"/>
      <c r="BU6" s="17"/>
      <c r="BV6" s="17"/>
      <c r="BW6" s="17"/>
      <c r="BX6" s="17"/>
      <c r="BY6" s="17"/>
      <c r="BZ6" s="17"/>
      <c r="CA6" s="17"/>
    </row>
    <row r="7" spans="2:79" ht="25.5">
      <c r="B7" s="5">
        <v>46051</v>
      </c>
      <c r="C7" s="6" t="s">
        <v>47</v>
      </c>
      <c r="D7" s="7"/>
      <c r="E7" s="8">
        <v>1048000</v>
      </c>
      <c r="F7" s="9"/>
      <c r="G7" s="9"/>
      <c r="H7" s="9"/>
      <c r="I7" s="9"/>
      <c r="J7" s="10"/>
      <c r="K7" s="10"/>
      <c r="L7" s="11">
        <f>+E7</f>
        <v>1048000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9"/>
      <c r="AN7" s="9"/>
      <c r="AO7" s="9"/>
      <c r="AP7" s="9"/>
      <c r="AQ7" s="9"/>
      <c r="AR7" s="9"/>
      <c r="AS7" s="9"/>
      <c r="AT7" s="9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</row>
    <row r="8" spans="2:79" ht="26.25">
      <c r="B8" s="12">
        <v>46045</v>
      </c>
      <c r="C8" s="13" t="s">
        <v>48</v>
      </c>
      <c r="D8" s="14"/>
      <c r="E8" s="15">
        <v>214600</v>
      </c>
      <c r="F8" s="16">
        <f>+E8</f>
        <v>214600</v>
      </c>
      <c r="G8" s="16"/>
      <c r="H8" s="16"/>
      <c r="I8" s="16"/>
      <c r="J8" s="14"/>
      <c r="K8" s="14"/>
      <c r="L8" s="17"/>
      <c r="M8" s="17"/>
      <c r="N8" s="17"/>
      <c r="O8" s="17"/>
      <c r="P8" s="17">
        <f t="shared" ref="P8" si="0">+AT8</f>
        <v>214600</v>
      </c>
      <c r="Q8" s="18">
        <f>+F8-P8</f>
        <v>0</v>
      </c>
      <c r="R8" s="17"/>
      <c r="S8" s="19" t="s">
        <v>49</v>
      </c>
      <c r="T8" s="20" t="s">
        <v>23</v>
      </c>
      <c r="U8" s="20" t="s">
        <v>24</v>
      </c>
      <c r="V8" s="20" t="s">
        <v>25</v>
      </c>
      <c r="W8" s="20" t="s">
        <v>50</v>
      </c>
      <c r="X8" s="20" t="s">
        <v>51</v>
      </c>
      <c r="Y8" s="20" t="s">
        <v>28</v>
      </c>
      <c r="Z8" s="20" t="s">
        <v>28</v>
      </c>
      <c r="AA8" s="20" t="s">
        <v>29</v>
      </c>
      <c r="AB8" s="20" t="s">
        <v>52</v>
      </c>
      <c r="AC8" s="20" t="s">
        <v>53</v>
      </c>
      <c r="AD8" s="20" t="s">
        <v>28</v>
      </c>
      <c r="AE8" s="20" t="s">
        <v>32</v>
      </c>
      <c r="AF8" s="20" t="s">
        <v>33</v>
      </c>
      <c r="AG8" s="20" t="s">
        <v>34</v>
      </c>
      <c r="AH8" s="20" t="s">
        <v>54</v>
      </c>
      <c r="AI8" s="20" t="s">
        <v>55</v>
      </c>
      <c r="AJ8" s="20" t="s">
        <v>28</v>
      </c>
      <c r="AK8" s="20" t="s">
        <v>28</v>
      </c>
      <c r="AL8" s="20" t="s">
        <v>37</v>
      </c>
      <c r="AM8" s="21">
        <v>185000</v>
      </c>
      <c r="AN8" s="21">
        <v>0</v>
      </c>
      <c r="AO8" s="21">
        <v>0</v>
      </c>
      <c r="AP8" s="21">
        <v>29600</v>
      </c>
      <c r="AQ8" s="21">
        <v>0</v>
      </c>
      <c r="AR8" s="21">
        <v>0</v>
      </c>
      <c r="AS8" s="21">
        <v>0</v>
      </c>
      <c r="AT8" s="21">
        <v>214600</v>
      </c>
      <c r="AU8" s="20" t="s">
        <v>28</v>
      </c>
      <c r="AV8" s="20">
        <v>29600</v>
      </c>
      <c r="AW8" s="20">
        <v>0</v>
      </c>
      <c r="AX8" s="20">
        <v>0</v>
      </c>
      <c r="AY8" s="20">
        <v>0</v>
      </c>
      <c r="AZ8" s="20" t="s">
        <v>28</v>
      </c>
      <c r="BA8" s="20" t="s">
        <v>38</v>
      </c>
      <c r="BB8" s="20" t="s">
        <v>39</v>
      </c>
      <c r="BC8" s="20" t="s">
        <v>56</v>
      </c>
      <c r="BD8" s="20" t="s">
        <v>57</v>
      </c>
      <c r="BE8" s="20" t="s">
        <v>28</v>
      </c>
      <c r="BF8" s="20" t="s">
        <v>42</v>
      </c>
      <c r="BG8" s="20" t="s">
        <v>58</v>
      </c>
      <c r="BH8" s="20" t="s">
        <v>44</v>
      </c>
      <c r="BI8" s="20" t="s">
        <v>45</v>
      </c>
      <c r="BJ8" s="20" t="s">
        <v>45</v>
      </c>
      <c r="BK8" s="20" t="s">
        <v>45</v>
      </c>
      <c r="BL8" s="20" t="s">
        <v>45</v>
      </c>
      <c r="BM8" s="20" t="s">
        <v>45</v>
      </c>
      <c r="BN8" s="20" t="s">
        <v>45</v>
      </c>
      <c r="BO8" s="20" t="s">
        <v>45</v>
      </c>
      <c r="BP8" s="20" t="s">
        <v>45</v>
      </c>
      <c r="BQ8" s="20" t="s">
        <v>45</v>
      </c>
      <c r="BR8" s="20" t="s">
        <v>59</v>
      </c>
      <c r="BS8" s="17"/>
      <c r="BT8" s="17"/>
      <c r="BU8" s="17"/>
      <c r="BV8" s="17"/>
      <c r="BW8" s="17"/>
      <c r="BX8" s="17"/>
      <c r="BY8" s="17"/>
      <c r="BZ8" s="17"/>
      <c r="CA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INGRESOS</vt:lpstr>
      <vt:lpstr>INGRESOS EJEMPLO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MORENO</dc:creator>
  <cp:lastModifiedBy>Norma Guerrero</cp:lastModifiedBy>
  <dcterms:created xsi:type="dcterms:W3CDTF">2026-08-19T16:10:42Z</dcterms:created>
  <dcterms:modified xsi:type="dcterms:W3CDTF">2026-08-19T19:30:22Z</dcterms:modified>
</cp:coreProperties>
</file>